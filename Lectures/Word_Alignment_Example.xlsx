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-my.sharepoint.com/personal/sdrich_byu_edu/Documents/CS479-Fall2025/"/>
    </mc:Choice>
  </mc:AlternateContent>
  <xr:revisionPtr revIDLastSave="18" documentId="8_{EF05D5F2-3417-446B-9341-30F7A19B8BFB}" xr6:coauthVersionLast="47" xr6:coauthVersionMax="47" xr10:uidLastSave="{BDE5E70E-0094-494B-BF9C-8F4296C923A2}"/>
  <bookViews>
    <workbookView xWindow="-110" yWindow="-110" windowWidth="38620" windowHeight="21100" xr2:uid="{751D193B-4AB2-4860-824C-27A3EAD91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J25" i="1"/>
  <c r="I25" i="1"/>
  <c r="K22" i="1"/>
  <c r="J22" i="1"/>
  <c r="I22" i="1"/>
  <c r="K21" i="1"/>
  <c r="J21" i="1"/>
  <c r="I21" i="1"/>
  <c r="K20" i="1"/>
  <c r="J20" i="1"/>
  <c r="I20" i="1"/>
  <c r="K17" i="1"/>
  <c r="J17" i="1"/>
  <c r="I17" i="1"/>
  <c r="K16" i="1"/>
  <c r="J16" i="1"/>
  <c r="I16" i="1"/>
  <c r="K15" i="1"/>
  <c r="J15" i="1"/>
  <c r="I15" i="1"/>
  <c r="J12" i="1"/>
  <c r="I12" i="1"/>
  <c r="J11" i="1"/>
  <c r="I11" i="1"/>
  <c r="J8" i="1"/>
  <c r="I8" i="1"/>
  <c r="J7" i="1"/>
  <c r="I7" i="1"/>
  <c r="O7" i="1" l="1"/>
  <c r="N11" i="1"/>
  <c r="N21" i="1"/>
  <c r="N7" i="1"/>
  <c r="O20" i="1"/>
  <c r="N26" i="1"/>
  <c r="N20" i="1"/>
  <c r="P20" i="1"/>
  <c r="P16" i="1"/>
  <c r="O21" i="1"/>
  <c r="N12" i="1"/>
  <c r="N15" i="1"/>
  <c r="P21" i="1"/>
  <c r="O25" i="1"/>
  <c r="O26" i="1"/>
  <c r="O17" i="1"/>
  <c r="O16" i="1"/>
  <c r="N22" i="1"/>
  <c r="O12" i="1"/>
  <c r="O22" i="1"/>
  <c r="N16" i="1"/>
  <c r="P22" i="1"/>
  <c r="O11" i="1"/>
  <c r="P17" i="1"/>
  <c r="N8" i="1"/>
  <c r="N17" i="1"/>
  <c r="O8" i="1"/>
  <c r="P15" i="1"/>
  <c r="O15" i="1"/>
  <c r="N25" i="1"/>
  <c r="V7" i="1" l="1"/>
  <c r="S10" i="1"/>
  <c r="S9" i="1"/>
  <c r="T9" i="1"/>
  <c r="V9" i="1"/>
  <c r="U9" i="1"/>
  <c r="W9" i="1"/>
  <c r="V8" i="1"/>
  <c r="U11" i="1"/>
  <c r="T11" i="1"/>
  <c r="W8" i="1"/>
  <c r="T10" i="1"/>
  <c r="W10" i="1"/>
  <c r="V10" i="1"/>
  <c r="S8" i="1"/>
  <c r="W11" i="1"/>
  <c r="U8" i="1"/>
  <c r="S11" i="1"/>
  <c r="V11" i="1"/>
  <c r="U10" i="1"/>
  <c r="T8" i="1"/>
  <c r="U7" i="1"/>
  <c r="T7" i="1"/>
  <c r="S7" i="1"/>
  <c r="W7" i="1"/>
</calcChain>
</file>

<file path=xl/sharedStrings.xml><?xml version="1.0" encoding="utf-8"?>
<sst xmlns="http://schemas.openxmlformats.org/spreadsheetml/2006/main" count="75" uniqueCount="17">
  <si>
    <t>the</t>
  </si>
  <si>
    <t>house</t>
  </si>
  <si>
    <t>la</t>
  </si>
  <si>
    <t>maison</t>
  </si>
  <si>
    <t xml:space="preserve">the </t>
  </si>
  <si>
    <t>flower</t>
  </si>
  <si>
    <t>fleur</t>
  </si>
  <si>
    <t xml:space="preserve">blue </t>
  </si>
  <si>
    <t>bleu</t>
  </si>
  <si>
    <t>blue</t>
  </si>
  <si>
    <t>pomme</t>
  </si>
  <si>
    <t>apple</t>
  </si>
  <si>
    <t>Expectation</t>
  </si>
  <si>
    <t>Maximization</t>
  </si>
  <si>
    <t>Normalization</t>
  </si>
  <si>
    <t>Dictionary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</si>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</sst>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166F-DBA2-4D71-9C21-78136A1D2832}">
  <dimension ref="A2:W30"/>
  <sheetViews>
    <sheetView tabSelected="1" zoomScaleNormal="100" workbookViewId="0">
      <selection activeCell="B7" sqref="B7:F11"/>
    </sheetView>
  </sheetViews>
  <sheetFormatPr defaultRowHeight="14.5" x14ac:dyDescent="0.35"/>
  <sheetData>
    <row r="2" spans="1:23" x14ac:dyDescent="0.35">
      <c r="F2" s="2" t="s">
        <v>12</v>
      </c>
      <c r="G2" s="2"/>
      <c r="H2" s="2"/>
      <c r="K2" s="2" t="s">
        <v>14</v>
      </c>
      <c r="L2" s="2"/>
      <c r="M2" s="2"/>
      <c r="P2" s="2" t="s">
        <v>13</v>
      </c>
      <c r="Q2" s="2"/>
      <c r="R2" s="2"/>
    </row>
    <row r="4" spans="1:23" x14ac:dyDescent="0.35">
      <c r="C4" s="2" t="s">
        <v>15</v>
      </c>
      <c r="D4" s="2"/>
      <c r="F4" s="1"/>
      <c r="G4" s="1"/>
      <c r="H4" s="1"/>
      <c r="I4" s="2" t="s">
        <v>16</v>
      </c>
      <c r="J4" s="2"/>
      <c r="K4" s="1"/>
      <c r="L4" s="1"/>
      <c r="M4" s="1"/>
      <c r="N4" s="2" t="s">
        <v>16</v>
      </c>
      <c r="O4" s="2"/>
      <c r="P4" s="1"/>
      <c r="Q4" s="1"/>
      <c r="R4" s="1"/>
      <c r="T4" s="2" t="s">
        <v>15</v>
      </c>
      <c r="U4" s="2"/>
    </row>
    <row r="5" spans="1:23" x14ac:dyDescent="0.35"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T5" s="1"/>
      <c r="U5" s="1"/>
    </row>
    <row r="6" spans="1:23" x14ac:dyDescent="0.35">
      <c r="B6" t="s">
        <v>0</v>
      </c>
      <c r="C6" t="s">
        <v>1</v>
      </c>
      <c r="D6" t="s">
        <v>5</v>
      </c>
      <c r="E6" t="s">
        <v>9</v>
      </c>
      <c r="F6" t="s">
        <v>11</v>
      </c>
      <c r="I6" t="s">
        <v>0</v>
      </c>
      <c r="J6" t="s">
        <v>1</v>
      </c>
      <c r="N6" t="s">
        <v>0</v>
      </c>
      <c r="O6" t="s">
        <v>1</v>
      </c>
      <c r="S6" t="s">
        <v>0</v>
      </c>
      <c r="T6" t="s">
        <v>1</v>
      </c>
      <c r="U6" t="s">
        <v>5</v>
      </c>
      <c r="V6" t="s">
        <v>9</v>
      </c>
      <c r="W6" t="s">
        <v>11</v>
      </c>
    </row>
    <row r="7" spans="1:23" x14ac:dyDescent="0.35">
      <c r="A7" t="s">
        <v>10</v>
      </c>
      <c r="H7" t="s">
        <v>2</v>
      </c>
      <c r="I7">
        <f>B10</f>
        <v>0</v>
      </c>
      <c r="J7">
        <f>C10</f>
        <v>0</v>
      </c>
      <c r="M7" t="s">
        <v>2</v>
      </c>
      <c r="N7" t="e">
        <f>I7/(I7+I8)</f>
        <v>#DIV/0!</v>
      </c>
      <c r="O7" t="e">
        <f>J7/(J7+J8)</f>
        <v>#DIV/0!</v>
      </c>
      <c r="R7" t="s">
        <v>10</v>
      </c>
      <c r="S7" t="e">
        <f>0/(N25+O25)</f>
        <v>#DIV/0!</v>
      </c>
      <c r="T7" t="e">
        <f>0/(N25+O25)</f>
        <v>#DIV/0!</v>
      </c>
      <c r="U7" t="e">
        <f>0/(N25+O25)</f>
        <v>#DIV/0!</v>
      </c>
      <c r="V7" t="e">
        <f>N25/(N25+O25)</f>
        <v>#DIV/0!</v>
      </c>
      <c r="W7" t="e">
        <f>O25/(N25+O25)</f>
        <v>#DIV/0!</v>
      </c>
    </row>
    <row r="8" spans="1:23" x14ac:dyDescent="0.35">
      <c r="A8" t="s">
        <v>3</v>
      </c>
      <c r="H8" t="s">
        <v>3</v>
      </c>
      <c r="I8">
        <f>B8</f>
        <v>0</v>
      </c>
      <c r="J8">
        <f>C8</f>
        <v>0</v>
      </c>
      <c r="M8" t="s">
        <v>3</v>
      </c>
      <c r="N8" t="e">
        <f>I8/(I7+I8)</f>
        <v>#DIV/0!</v>
      </c>
      <c r="O8" t="e">
        <f>J8/(J7+J8)</f>
        <v>#DIV/0!</v>
      </c>
      <c r="R8" t="s">
        <v>3</v>
      </c>
      <c r="S8" t="e">
        <f>(N8+N16)/(N8+O8+N16+O16+P16)</f>
        <v>#DIV/0!</v>
      </c>
      <c r="T8" t="e">
        <f>(O8+P16)/(N8+O8+N16+O16+P16)</f>
        <v>#DIV/0!</v>
      </c>
      <c r="U8" t="e">
        <f>0/(N8+O8+N16+O16+P16)</f>
        <v>#DIV/0!</v>
      </c>
      <c r="V8" t="e">
        <f>O16/(N8+O8+N16+O16+P16)</f>
        <v>#DIV/0!</v>
      </c>
      <c r="W8" t="e">
        <f>0/(N8+O8+N16+O16+P16)</f>
        <v>#DIV/0!</v>
      </c>
    </row>
    <row r="9" spans="1:23" x14ac:dyDescent="0.35">
      <c r="A9" t="s">
        <v>6</v>
      </c>
      <c r="R9" t="s">
        <v>6</v>
      </c>
      <c r="S9" t="e">
        <f>(N12+N21)/(N12+O12+N21+O21+P21)</f>
        <v>#DIV/0!</v>
      </c>
      <c r="T9" t="e">
        <f>0/(N12+O12+N21+O21+P21)</f>
        <v>#DIV/0!</v>
      </c>
      <c r="U9" t="e">
        <f>(O12+P21)/(N12+O12+N21+O21+P21)</f>
        <v>#DIV/0!</v>
      </c>
      <c r="V9" t="e">
        <f>O21/(N12+O12+N21+O21+P21)</f>
        <v>#DIV/0!</v>
      </c>
      <c r="W9" t="e">
        <f>0/(N12+O12+N21+O21+P21)</f>
        <v>#DIV/0!</v>
      </c>
    </row>
    <row r="10" spans="1:23" x14ac:dyDescent="0.35">
      <c r="A10" t="s">
        <v>2</v>
      </c>
      <c r="I10" t="s">
        <v>4</v>
      </c>
      <c r="J10" t="s">
        <v>5</v>
      </c>
      <c r="N10" t="s">
        <v>4</v>
      </c>
      <c r="O10" t="s">
        <v>5</v>
      </c>
      <c r="R10" t="s">
        <v>2</v>
      </c>
      <c r="S10" t="e">
        <f>(N7+N11+N15+N20)/(N7+O7+N11+O11+N15+O15+P15+N20+O20+P20)</f>
        <v>#DIV/0!</v>
      </c>
      <c r="T10" t="e">
        <f>(O7+P15)/(N7+O7+N11+O11+N15+O15+P15+N20+O20+P20)</f>
        <v>#DIV/0!</v>
      </c>
      <c r="U10" t="e">
        <f>(O11+P20)/(N7+O7+N11+O11+N15+O15+P15+N20+O20+P20)</f>
        <v>#DIV/0!</v>
      </c>
      <c r="V10" t="e">
        <f>(O15+O20)/(N7+O7+N11+O11+N15+O15+P15+N20+O20+P20)</f>
        <v>#DIV/0!</v>
      </c>
      <c r="W10" t="e">
        <f>0/(N7+O7+N11+O11+N15+O15+P15+N20+O20+P20)</f>
        <v>#DIV/0!</v>
      </c>
    </row>
    <row r="11" spans="1:23" x14ac:dyDescent="0.35">
      <c r="A11" t="s">
        <v>8</v>
      </c>
      <c r="H11" t="s">
        <v>2</v>
      </c>
      <c r="I11">
        <f>B10</f>
        <v>0</v>
      </c>
      <c r="J11">
        <f>D10</f>
        <v>0</v>
      </c>
      <c r="M11" t="s">
        <v>2</v>
      </c>
      <c r="N11" t="e">
        <f>I11/(I11+I12)</f>
        <v>#DIV/0!</v>
      </c>
      <c r="O11" t="e">
        <f>J11/(J11+J12)</f>
        <v>#DIV/0!</v>
      </c>
      <c r="R11" t="s">
        <v>8</v>
      </c>
      <c r="S11" t="e">
        <f>(N22+N17)/(N17+O17+P17+N22+O22+P22+N26+O26)</f>
        <v>#DIV/0!</v>
      </c>
      <c r="T11" t="e">
        <f>P17/(N17+O17+P17+N22+O22+P22+N26+O26)</f>
        <v>#DIV/0!</v>
      </c>
      <c r="U11" t="e">
        <f>P22/(N17+O17+P17+N22+O22+P22+N26+O26)</f>
        <v>#DIV/0!</v>
      </c>
      <c r="V11" t="e">
        <f>(O17+O22+N26)/(N17+O17+P17+N22+O22+P22+N26+O26)</f>
        <v>#DIV/0!</v>
      </c>
      <c r="W11" t="e">
        <f>O26/(N17+O17+P17+N22+O22+P22+N26+O26)</f>
        <v>#DIV/0!</v>
      </c>
    </row>
    <row r="12" spans="1:23" x14ac:dyDescent="0.35">
      <c r="H12" t="s">
        <v>6</v>
      </c>
      <c r="I12">
        <f>B9</f>
        <v>0</v>
      </c>
      <c r="J12">
        <f>D9</f>
        <v>0</v>
      </c>
      <c r="M12" t="s">
        <v>6</v>
      </c>
      <c r="N12" t="e">
        <f>I12/(I11+I12)</f>
        <v>#DIV/0!</v>
      </c>
      <c r="O12" t="e">
        <f>J12/(J11+J12)</f>
        <v>#DIV/0!</v>
      </c>
    </row>
    <row r="14" spans="1:23" x14ac:dyDescent="0.35">
      <c r="I14" t="s">
        <v>0</v>
      </c>
      <c r="J14" t="s">
        <v>7</v>
      </c>
      <c r="K14" t="s">
        <v>1</v>
      </c>
      <c r="N14" t="s">
        <v>0</v>
      </c>
      <c r="O14" t="s">
        <v>7</v>
      </c>
      <c r="P14" t="s">
        <v>1</v>
      </c>
    </row>
    <row r="15" spans="1:23" x14ac:dyDescent="0.35">
      <c r="H15" t="s">
        <v>2</v>
      </c>
      <c r="I15">
        <f>B10</f>
        <v>0</v>
      </c>
      <c r="J15">
        <f>E10</f>
        <v>0</v>
      </c>
      <c r="K15">
        <f>C10</f>
        <v>0</v>
      </c>
      <c r="M15" t="s">
        <v>2</v>
      </c>
      <c r="N15" t="e">
        <f>I15/(I15+I16+I17)</f>
        <v>#DIV/0!</v>
      </c>
      <c r="O15" t="e">
        <f>J15/(J15+J16+J17)</f>
        <v>#DIV/0!</v>
      </c>
      <c r="P15" t="e">
        <f>K15/(K15+K16+K17)</f>
        <v>#DIV/0!</v>
      </c>
    </row>
    <row r="16" spans="1:23" x14ac:dyDescent="0.35">
      <c r="H16" t="s">
        <v>3</v>
      </c>
      <c r="I16">
        <f>B8</f>
        <v>0</v>
      </c>
      <c r="J16">
        <f>E8</f>
        <v>0</v>
      </c>
      <c r="K16">
        <f>C8</f>
        <v>0</v>
      </c>
      <c r="M16" t="s">
        <v>3</v>
      </c>
      <c r="N16" t="e">
        <f>I16/(I15+I16+I17)</f>
        <v>#DIV/0!</v>
      </c>
      <c r="O16" t="e">
        <f>J16/(J15+J16+J17)</f>
        <v>#DIV/0!</v>
      </c>
      <c r="P16" t="e">
        <f>K16/(K15+K16+K17)</f>
        <v>#DIV/0!</v>
      </c>
    </row>
    <row r="17" spans="3:21" x14ac:dyDescent="0.35">
      <c r="H17" t="s">
        <v>8</v>
      </c>
      <c r="I17">
        <f>B11</f>
        <v>0</v>
      </c>
      <c r="J17">
        <f>E11</f>
        <v>0</v>
      </c>
      <c r="K17">
        <f>C11</f>
        <v>0</v>
      </c>
      <c r="M17" t="s">
        <v>8</v>
      </c>
      <c r="N17" t="e">
        <f>I17/(I15+I16+I17)</f>
        <v>#DIV/0!</v>
      </c>
      <c r="O17" t="e">
        <f>J17/(J15+J16+J17)</f>
        <v>#DIV/0!</v>
      </c>
      <c r="P17" t="e">
        <f>K17/(K15+K16+K17)</f>
        <v>#DIV/0!</v>
      </c>
    </row>
    <row r="19" spans="3:21" x14ac:dyDescent="0.35">
      <c r="I19" t="s">
        <v>0</v>
      </c>
      <c r="J19" t="s">
        <v>9</v>
      </c>
      <c r="K19" t="s">
        <v>5</v>
      </c>
      <c r="N19" t="s">
        <v>0</v>
      </c>
      <c r="O19" t="s">
        <v>9</v>
      </c>
      <c r="P19" t="s">
        <v>5</v>
      </c>
    </row>
    <row r="20" spans="3:21" x14ac:dyDescent="0.35">
      <c r="H20" t="s">
        <v>2</v>
      </c>
      <c r="I20">
        <f>B10</f>
        <v>0</v>
      </c>
      <c r="J20">
        <f>E10</f>
        <v>0</v>
      </c>
      <c r="K20">
        <f>D10</f>
        <v>0</v>
      </c>
      <c r="M20" t="s">
        <v>2</v>
      </c>
      <c r="N20" t="e">
        <f>I20/(I20+I21+I22)</f>
        <v>#DIV/0!</v>
      </c>
      <c r="O20" t="e">
        <f>J20/(J20+J21+J22)</f>
        <v>#DIV/0!</v>
      </c>
      <c r="P20" t="e">
        <f>K20/(K20+K21+K22)</f>
        <v>#DIV/0!</v>
      </c>
    </row>
    <row r="21" spans="3:21" x14ac:dyDescent="0.35">
      <c r="H21" t="s">
        <v>6</v>
      </c>
      <c r="I21">
        <f>B9</f>
        <v>0</v>
      </c>
      <c r="J21">
        <f>E9</f>
        <v>0</v>
      </c>
      <c r="K21">
        <f>D9</f>
        <v>0</v>
      </c>
      <c r="M21" t="s">
        <v>6</v>
      </c>
      <c r="N21" t="e">
        <f>I21/(I20+I21+I22)</f>
        <v>#DIV/0!</v>
      </c>
      <c r="O21" t="e">
        <f>J21/(J20+J21+J22)</f>
        <v>#DIV/0!</v>
      </c>
      <c r="P21" t="e">
        <f>K21/(K20+K21+K22)</f>
        <v>#DIV/0!</v>
      </c>
    </row>
    <row r="22" spans="3:21" x14ac:dyDescent="0.35">
      <c r="H22" t="s">
        <v>8</v>
      </c>
      <c r="I22">
        <f>B11</f>
        <v>0</v>
      </c>
      <c r="J22">
        <f>E11</f>
        <v>0</v>
      </c>
      <c r="K22">
        <f>D11</f>
        <v>0</v>
      </c>
      <c r="M22" t="s">
        <v>8</v>
      </c>
      <c r="N22" t="e">
        <f>I22/(I20+I21+I22)</f>
        <v>#DIV/0!</v>
      </c>
      <c r="O22" t="e">
        <f>J22/(J20+J21+J22)</f>
        <v>#DIV/0!</v>
      </c>
      <c r="P22" t="e">
        <f>K22/(K20+K21+K22)</f>
        <v>#DIV/0!</v>
      </c>
    </row>
    <row r="24" spans="3:21" x14ac:dyDescent="0.35">
      <c r="I24" t="s">
        <v>9</v>
      </c>
      <c r="J24" t="s">
        <v>11</v>
      </c>
      <c r="N24" t="s">
        <v>9</v>
      </c>
      <c r="O24" t="s">
        <v>11</v>
      </c>
    </row>
    <row r="25" spans="3:21" x14ac:dyDescent="0.35">
      <c r="H25" t="s">
        <v>10</v>
      </c>
      <c r="I25">
        <f>E7</f>
        <v>0</v>
      </c>
      <c r="J25">
        <f>F7</f>
        <v>0</v>
      </c>
      <c r="M25" t="s">
        <v>10</v>
      </c>
      <c r="N25" t="e">
        <f>I25/(I25+I26)</f>
        <v>#DIV/0!</v>
      </c>
      <c r="O25" t="e">
        <f>J25/(J25+J26)</f>
        <v>#DIV/0!</v>
      </c>
    </row>
    <row r="26" spans="3:21" x14ac:dyDescent="0.35">
      <c r="H26" t="s">
        <v>8</v>
      </c>
      <c r="I26">
        <f>E11</f>
        <v>0</v>
      </c>
      <c r="J26">
        <f>F11</f>
        <v>0</v>
      </c>
      <c r="M26" t="s">
        <v>8</v>
      </c>
      <c r="N26" t="e">
        <f>I26/(I25+I26)</f>
        <v>#DIV/0!</v>
      </c>
      <c r="O26" t="e">
        <f>J26/(J25+J26)</f>
        <v>#DIV/0!</v>
      </c>
    </row>
    <row r="29" spans="3:21" x14ac:dyDescent="0.35">
      <c r="C29" s="2"/>
      <c r="D29" s="2"/>
      <c r="F29" s="1"/>
      <c r="G29" s="1"/>
      <c r="H29" s="1"/>
      <c r="I29" s="2"/>
      <c r="J29" s="2"/>
      <c r="K29" s="1"/>
      <c r="L29" s="1"/>
      <c r="M29" s="1"/>
      <c r="N29" s="2"/>
      <c r="O29" s="2"/>
      <c r="P29" s="1"/>
      <c r="Q29" s="1"/>
      <c r="R29" s="1"/>
      <c r="T29" s="2"/>
      <c r="U29" s="2"/>
    </row>
    <row r="30" spans="3:21" x14ac:dyDescent="0.35"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T30" s="1"/>
      <c r="U30" s="1"/>
    </row>
  </sheetData>
  <mergeCells count="11">
    <mergeCell ref="C29:D29"/>
    <mergeCell ref="I29:J29"/>
    <mergeCell ref="N29:O29"/>
    <mergeCell ref="T29:U29"/>
    <mergeCell ref="C4:D4"/>
    <mergeCell ref="I4:J4"/>
    <mergeCell ref="N4:O4"/>
    <mergeCell ref="T4:U4"/>
    <mergeCell ref="F2:H2"/>
    <mergeCell ref="P2:R2"/>
    <mergeCell ref="K2:M2"/>
  </mergeCells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Richardson</dc:creator>
  <cp:lastModifiedBy>Steve Richardson</cp:lastModifiedBy>
  <dcterms:created xsi:type="dcterms:W3CDTF">2022-01-26T08:33:17Z</dcterms:created>
  <dcterms:modified xsi:type="dcterms:W3CDTF">2025-11-19T22:11:39Z</dcterms:modified>
</cp:coreProperties>
</file>